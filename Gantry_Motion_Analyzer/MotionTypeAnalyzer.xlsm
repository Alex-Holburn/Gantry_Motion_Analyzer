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Gantry_Motion_Analyzer\"/>
    </mc:Choice>
  </mc:AlternateContent>
  <xr:revisionPtr revIDLastSave="0" documentId="13_ncr:1_{9C81840E-0E21-4690-A736-538C9D39B31E}" xr6:coauthVersionLast="46" xr6:coauthVersionMax="46" xr10:uidLastSave="{00000000-0000-0000-0000-000000000000}"/>
  <bookViews>
    <workbookView xWindow="-120" yWindow="-120" windowWidth="20730" windowHeight="11160" xr2:uid="{C248129B-8EC6-4C69-B604-D4A209F06516}"/>
  </bookViews>
  <sheets>
    <sheet name="Motion_Analysis" sheetId="1" r:id="rId1"/>
    <sheet name="Motion_Data" sheetId="3" r:id="rId2"/>
    <sheet name="Instructions" sheetId="5" r:id="rId3"/>
    <sheet name="Tool_Setup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4" l="1"/>
  <c r="H5" i="4" s="1"/>
  <c r="H6" i="4"/>
  <c r="E5" i="4"/>
  <c r="E6" i="4" s="1"/>
  <c r="E4" i="4"/>
</calcChain>
</file>

<file path=xl/sharedStrings.xml><?xml version="1.0" encoding="utf-8"?>
<sst xmlns="http://schemas.openxmlformats.org/spreadsheetml/2006/main" count="142" uniqueCount="81">
  <si>
    <t>Line Item</t>
  </si>
  <si>
    <t>Value</t>
  </si>
  <si>
    <t>I/O?</t>
  </si>
  <si>
    <t>Minimum X-Axis Travel</t>
  </si>
  <si>
    <t>Maximum X-Axis Travel</t>
  </si>
  <si>
    <t>Units</t>
  </si>
  <si>
    <t>Meters</t>
  </si>
  <si>
    <t>Minimum Y-Axis Travel</t>
  </si>
  <si>
    <t>Maximum Y-Axis Travel</t>
  </si>
  <si>
    <t>Minimum Z-Axis Travel</t>
  </si>
  <si>
    <t>Maximum Z-Axis Travel</t>
  </si>
  <si>
    <t>Input</t>
  </si>
  <si>
    <t>Meters/Sec.</t>
  </si>
  <si>
    <t>Minimum X-Axis Velocity</t>
  </si>
  <si>
    <t>Maximum X-Axis Velocity</t>
  </si>
  <si>
    <t>Minimum Y-Axis Velocity</t>
  </si>
  <si>
    <t>Maximum Y-Axis Velocity</t>
  </si>
  <si>
    <t>Minimum Z-Axis Velocity</t>
  </si>
  <si>
    <t>Maximum Z-Axis Velocity</t>
  </si>
  <si>
    <t>Use Coordinated Motion?</t>
  </si>
  <si>
    <t>Unitless</t>
  </si>
  <si>
    <t>Desired Data Resolution</t>
  </si>
  <si>
    <t>Output</t>
  </si>
  <si>
    <t>Slowest Total Move</t>
  </si>
  <si>
    <t>Fastest Total Move</t>
  </si>
  <si>
    <t>Sec.</t>
  </si>
  <si>
    <t>Project:</t>
  </si>
  <si>
    <t>Company:</t>
  </si>
  <si>
    <t>Last Edit:</t>
  </si>
  <si>
    <t>Engineer:</t>
  </si>
  <si>
    <t>Motion Options</t>
  </si>
  <si>
    <t>YES</t>
  </si>
  <si>
    <t>NO</t>
  </si>
  <si>
    <t>Points</t>
  </si>
  <si>
    <t>Motion Type?</t>
  </si>
  <si>
    <t>x-axis time (sec.)</t>
  </si>
  <si>
    <t>y-axis time (sec.)</t>
  </si>
  <si>
    <t>z-axis time (sec.)</t>
  </si>
  <si>
    <t>Pos(x) (m.)</t>
  </si>
  <si>
    <t>Pos(y) (m.)</t>
  </si>
  <si>
    <t>Pos(z) (m.)</t>
  </si>
  <si>
    <t>simulation number</t>
  </si>
  <si>
    <t>Vel(x) (m./sec.)</t>
  </si>
  <si>
    <t>Vel(y) (m./sec.)</t>
  </si>
  <si>
    <t>Vel(z) (m./sec.)</t>
  </si>
  <si>
    <t>Mean Y-Axis Move</t>
  </si>
  <si>
    <t>Mean Z-Axis Move</t>
  </si>
  <si>
    <t>Mean X-Axis Move</t>
  </si>
  <si>
    <t>Minimum X-Axis Move</t>
  </si>
  <si>
    <t>Maximum X-Axis Move</t>
  </si>
  <si>
    <t>Minimum Y-Axis Move</t>
  </si>
  <si>
    <t>Maximum Y-Axis Move</t>
  </si>
  <si>
    <t>Minimum Z-Axis Move</t>
  </si>
  <si>
    <t>Maximum Z-Axis Move</t>
  </si>
  <si>
    <t>Mean Total Move</t>
  </si>
  <si>
    <t>Simulation Data Range Info</t>
  </si>
  <si>
    <t>Simulation Data Range</t>
  </si>
  <si>
    <t>Simulation Data Range End Cell</t>
  </si>
  <si>
    <t>Simulation Data Range Start Cell</t>
  </si>
  <si>
    <t>Save Motion Data?</t>
  </si>
  <si>
    <t>Simulation Output File Info</t>
  </si>
  <si>
    <t>Simulation Output File Root Directory</t>
  </si>
  <si>
    <t>Simulation Output File Path</t>
  </si>
  <si>
    <t>Simulation Output File Template Path</t>
  </si>
  <si>
    <t>Active Workbook Path</t>
  </si>
  <si>
    <t>Test</t>
  </si>
  <si>
    <t>Step #</t>
  </si>
  <si>
    <t>Optional</t>
  </si>
  <si>
    <t>Description</t>
  </si>
  <si>
    <t>Notes</t>
  </si>
  <si>
    <t>Enter Project Data</t>
  </si>
  <si>
    <t xml:space="preserve">Optional if not saving simulation output data. </t>
  </si>
  <si>
    <t>Enter All Axis Data</t>
  </si>
  <si>
    <t>Required</t>
  </si>
  <si>
    <t>Select Type of Motion To Analyze</t>
  </si>
  <si>
    <t>Single Axis or Coordinated</t>
  </si>
  <si>
    <t>Select if Output Data Is To Be Saved</t>
  </si>
  <si>
    <t>Clear Input Data</t>
  </si>
  <si>
    <t>Clear Output Data</t>
  </si>
  <si>
    <t>Zeros Out All Output Data</t>
  </si>
  <si>
    <t>Zeros Out All Input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</si>
</sst>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A010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1" fillId="0" borderId="0" xfId="0" applyFont="1" applyFill="1" applyBorder="1"/>
    <xf numFmtId="0" fontId="0" fillId="3" borderId="0" xfId="0" applyFill="1"/>
    <xf numFmtId="0" fontId="2" fillId="3" borderId="0" xfId="0" applyFont="1" applyFill="1"/>
    <xf numFmtId="0" fontId="2" fillId="3" borderId="4" xfId="0" applyFont="1" applyFill="1" applyBorder="1"/>
    <xf numFmtId="0" fontId="2" fillId="3" borderId="3" xfId="0" applyFont="1" applyFill="1" applyBorder="1"/>
    <xf numFmtId="0" fontId="0" fillId="0" borderId="0" xfId="0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0" xfId="0" applyNumberFormat="1" applyBorder="1"/>
    <xf numFmtId="2" fontId="0" fillId="0" borderId="2" xfId="0" applyNumberFormat="1" applyBorder="1"/>
    <xf numFmtId="2" fontId="1" fillId="0" borderId="0" xfId="0" applyNumberFormat="1" applyFont="1"/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0" fontId="3" fillId="0" borderId="0" xfId="0" applyFont="1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533059</xdr:colOff>
      <xdr:row>5</xdr:row>
      <xdr:rowOff>180833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7A23B1-7A1C-42F2-8CC6-328A27AEE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23809" cy="11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19050</xdr:rowOff>
        </xdr:from>
        <xdr:to>
          <xdr:col>10</xdr:col>
          <xdr:colOff>247650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Cycle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1</xdr:row>
          <xdr:rowOff>19050</xdr:rowOff>
        </xdr:from>
        <xdr:to>
          <xdr:col>13</xdr:col>
          <xdr:colOff>114300</xdr:colOff>
          <xdr:row>3</xdr:row>
          <xdr:rowOff>104775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A024EF5A-B368-4828-8920-D3246DC6F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1</xdr:row>
          <xdr:rowOff>19050</xdr:rowOff>
        </xdr:from>
        <xdr:to>
          <xdr:col>15</xdr:col>
          <xdr:colOff>590550</xdr:colOff>
          <xdr:row>3</xdr:row>
          <xdr:rowOff>104775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84B7B025-6622-466C-9ABB-519562D47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171451</xdr:rowOff>
    </xdr:from>
    <xdr:to>
      <xdr:col>7</xdr:col>
      <xdr:colOff>266700</xdr:colOff>
      <xdr:row>13</xdr:row>
      <xdr:rowOff>38101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13B131-4904-45BF-BCAE-0D49A467878F}"/>
            </a:ext>
          </a:extLst>
        </xdr:cNvPr>
        <xdr:cNvSpPr txBox="1"/>
      </xdr:nvSpPr>
      <xdr:spPr>
        <a:xfrm>
          <a:off x="609600" y="1514476"/>
          <a:ext cx="5924550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Do not Edit any of the cells you see in this sheet. If you edit these cells, you will break the workbook. </a:t>
          </a:r>
          <a:br>
            <a:rPr lang="en-US" sz="1100"/>
          </a:br>
          <a:br>
            <a:rPr lang="en-US" sz="1100"/>
          </a:br>
          <a:r>
            <a:rPr lang="en-US" sz="1100"/>
            <a:t>You have been warned. </a:t>
          </a:r>
          <a:br>
            <a:rPr lang="en-US" sz="1100"/>
          </a:br>
          <a:br>
            <a:rPr lang="en-US" sz="1100"/>
          </a:br>
          <a:r>
            <a:rPr lang="en-US" sz="1100"/>
            <a:t>-Alex Holburn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EC3CB-3239-4049-8A32-BAE86C6CE6D8}" name="Table2" displayName="Table2" ref="A8:D23" totalsRowShown="0" headerRowDxfId="0">
  <autoFilter ref="A8:D23" xr:uid="{1F96FC54-A612-4AB7-8C38-A87757DD8640}"/>
  <tableColumns count="4">
    <tableColumn id="1" xr3:uid="{2BEE140E-828A-4E0C-B2F3-554BBD8BC102}" name="Line Item"/>
    <tableColumn id="2" xr3:uid="{924E3081-D63E-4460-9490-AEEE5412469F}" name="Value"/>
    <tableColumn id="3" xr3:uid="{51739C2B-3C06-4DCD-A8B5-AF34B234840E}" name="Units"/>
    <tableColumn id="4" xr3:uid="{83992D8E-AC46-460C-8BA0-A9418AAFD948}" name="I/O?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69CE7D-B779-4FBD-8FF7-5FFF0B2D6EDC}" name="Table3" displayName="Table3" ref="G8:J21" totalsRowShown="0" headerRowDxfId="1">
  <autoFilter ref="G8:J21" xr:uid="{6CC902C5-2469-4C57-9817-3163C9EC5518}"/>
  <tableColumns count="4">
    <tableColumn id="1" xr3:uid="{A0578395-D494-4E75-896C-6408D9879496}" name="Line Item" dataDxfId="5"/>
    <tableColumn id="2" xr3:uid="{A40F44C1-9E67-4CBB-B4D1-92B58ABBD8D7}" name="Value" dataDxfId="4"/>
    <tableColumn id="3" xr3:uid="{487941C8-6378-4CFD-A91D-D76368B9C9BB}" name="Units" dataDxfId="3"/>
    <tableColumn id="4" xr3:uid="{63D72D63-F0D7-4C06-9666-A8C670DB5261}" name="I/O?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B234-B9B7-45B8-802F-FAA9CA909FAA}">
  <sheetPr codeName="Sheet1"/>
  <dimension ref="A1:AE163"/>
  <sheetViews>
    <sheetView tabSelected="1" workbookViewId="0">
      <pane ySplit="6" topLeftCell="A8" activePane="bottomLeft" state="frozen"/>
      <selection pane="bottomLeft" activeCell="B23" sqref="B23"/>
    </sheetView>
  </sheetViews>
  <sheetFormatPr defaultRowHeight="15" x14ac:dyDescent="0.25"/>
  <cols>
    <col min="1" max="1" width="23.7109375" bestFit="1" customWidth="1"/>
    <col min="3" max="3" width="11.7109375" bestFit="1" customWidth="1"/>
    <col min="6" max="6" width="9.85546875" bestFit="1" customWidth="1"/>
    <col min="7" max="7" width="21.85546875" customWidth="1"/>
    <col min="8" max="8" width="19.28515625" bestFit="1" customWidth="1"/>
  </cols>
  <sheetData>
    <row r="1" spans="1:3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1"/>
      <c r="B2" s="1"/>
      <c r="C2" s="1"/>
      <c r="D2" s="1"/>
      <c r="E2" s="1"/>
      <c r="F2" s="10" t="s">
        <v>26</v>
      </c>
      <c r="G2" s="9" t="s">
        <v>65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D3" s="1"/>
      <c r="E3" s="1"/>
      <c r="F3" s="10" t="s">
        <v>27</v>
      </c>
      <c r="G3" s="9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10" t="s">
        <v>28</v>
      </c>
      <c r="G4" s="9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10" t="s">
        <v>29</v>
      </c>
      <c r="G5" s="9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</row>
    <row r="8" spans="1:31" x14ac:dyDescent="0.25">
      <c r="A8" s="2" t="s">
        <v>0</v>
      </c>
      <c r="B8" s="2" t="s">
        <v>1</v>
      </c>
      <c r="C8" s="2" t="s">
        <v>5</v>
      </c>
      <c r="D8" s="2" t="s">
        <v>2</v>
      </c>
      <c r="E8" s="7"/>
      <c r="F8" s="7"/>
      <c r="G8" s="2" t="s">
        <v>0</v>
      </c>
      <c r="H8" s="2" t="s">
        <v>1</v>
      </c>
      <c r="I8" s="2" t="s">
        <v>5</v>
      </c>
      <c r="J8" s="2" t="s">
        <v>2</v>
      </c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x14ac:dyDescent="0.25">
      <c r="A9" t="s">
        <v>3</v>
      </c>
      <c r="B9">
        <v>1</v>
      </c>
      <c r="C9" t="s">
        <v>6</v>
      </c>
      <c r="D9" t="s">
        <v>11</v>
      </c>
      <c r="E9" s="7"/>
      <c r="F9" s="7"/>
      <c r="G9" t="s">
        <v>48</v>
      </c>
      <c r="H9" s="12"/>
      <c r="I9" t="s">
        <v>25</v>
      </c>
      <c r="J9" t="s">
        <v>22</v>
      </c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</row>
    <row r="10" spans="1:31" x14ac:dyDescent="0.25">
      <c r="A10" t="s">
        <v>4</v>
      </c>
      <c r="B10">
        <v>10</v>
      </c>
      <c r="C10" t="s">
        <v>6</v>
      </c>
      <c r="D10" t="s">
        <v>11</v>
      </c>
      <c r="E10" s="7"/>
      <c r="F10" s="7"/>
      <c r="G10" t="s">
        <v>49</v>
      </c>
      <c r="H10" s="12"/>
      <c r="I10" t="s">
        <v>25</v>
      </c>
      <c r="J10" t="s">
        <v>22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</row>
    <row r="11" spans="1:31" x14ac:dyDescent="0.25">
      <c r="A11" t="s">
        <v>13</v>
      </c>
      <c r="B11">
        <v>0</v>
      </c>
      <c r="C11" t="s">
        <v>12</v>
      </c>
      <c r="D11" t="s">
        <v>11</v>
      </c>
      <c r="E11" s="7"/>
      <c r="F11" s="7"/>
      <c r="G11" s="3" t="s">
        <v>47</v>
      </c>
      <c r="H11" s="13"/>
      <c r="I11" s="3" t="s">
        <v>25</v>
      </c>
      <c r="J11" s="3" t="s">
        <v>22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</row>
    <row r="12" spans="1:31" x14ac:dyDescent="0.25">
      <c r="A12" s="3" t="s">
        <v>14</v>
      </c>
      <c r="B12" s="3">
        <v>5.7</v>
      </c>
      <c r="C12" s="3" t="s">
        <v>12</v>
      </c>
      <c r="D12" s="3" t="s">
        <v>11</v>
      </c>
      <c r="E12" s="7"/>
      <c r="F12" s="7"/>
      <c r="G12" t="s">
        <v>50</v>
      </c>
      <c r="H12" s="12"/>
      <c r="I12" t="s">
        <v>25</v>
      </c>
      <c r="J12" t="s">
        <v>22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</row>
    <row r="13" spans="1:31" x14ac:dyDescent="0.25">
      <c r="A13" t="s">
        <v>7</v>
      </c>
      <c r="B13">
        <v>5</v>
      </c>
      <c r="C13" t="s">
        <v>6</v>
      </c>
      <c r="D13" t="s">
        <v>11</v>
      </c>
      <c r="E13" s="7"/>
      <c r="F13" s="7"/>
      <c r="G13" t="s">
        <v>51</v>
      </c>
      <c r="H13" s="12"/>
      <c r="I13" t="s">
        <v>25</v>
      </c>
      <c r="J13" t="s">
        <v>22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</row>
    <row r="14" spans="1:31" x14ac:dyDescent="0.25">
      <c r="A14" t="s">
        <v>8</v>
      </c>
      <c r="B14">
        <v>18</v>
      </c>
      <c r="C14" t="s">
        <v>6</v>
      </c>
      <c r="D14" t="s">
        <v>11</v>
      </c>
      <c r="E14" s="7"/>
      <c r="F14" s="7"/>
      <c r="G14" s="3" t="s">
        <v>45</v>
      </c>
      <c r="H14" s="13"/>
      <c r="I14" s="3" t="s">
        <v>25</v>
      </c>
      <c r="J14" s="3" t="s">
        <v>22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</row>
    <row r="15" spans="1:31" x14ac:dyDescent="0.25">
      <c r="A15" t="s">
        <v>15</v>
      </c>
      <c r="B15">
        <v>0</v>
      </c>
      <c r="C15" t="s">
        <v>12</v>
      </c>
      <c r="D15" t="s">
        <v>11</v>
      </c>
      <c r="E15" s="7"/>
      <c r="F15" s="7"/>
      <c r="G15" t="s">
        <v>52</v>
      </c>
      <c r="H15" s="12"/>
      <c r="I15" t="s">
        <v>25</v>
      </c>
      <c r="J15" t="s">
        <v>22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</row>
    <row r="16" spans="1:31" x14ac:dyDescent="0.25">
      <c r="A16" s="3" t="s">
        <v>16</v>
      </c>
      <c r="B16" s="3">
        <v>5.2</v>
      </c>
      <c r="C16" s="3" t="s">
        <v>12</v>
      </c>
      <c r="D16" s="3" t="s">
        <v>11</v>
      </c>
      <c r="E16" s="7"/>
      <c r="F16" s="7"/>
      <c r="G16" s="4" t="s">
        <v>53</v>
      </c>
      <c r="H16" s="14"/>
      <c r="I16" s="4" t="s">
        <v>25</v>
      </c>
      <c r="J16" s="4" t="s">
        <v>22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</row>
    <row r="17" spans="1:31" ht="15.75" thickBot="1" x14ac:dyDescent="0.3">
      <c r="A17" t="s">
        <v>9</v>
      </c>
      <c r="B17">
        <v>1</v>
      </c>
      <c r="C17" t="s">
        <v>6</v>
      </c>
      <c r="D17" t="s">
        <v>11</v>
      </c>
      <c r="E17" s="7"/>
      <c r="F17" s="7"/>
      <c r="G17" s="5" t="s">
        <v>46</v>
      </c>
      <c r="H17" s="15"/>
      <c r="I17" s="5" t="s">
        <v>25</v>
      </c>
      <c r="J17" s="5" t="s">
        <v>22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</row>
    <row r="18" spans="1:31" x14ac:dyDescent="0.25">
      <c r="A18" t="s">
        <v>10</v>
      </c>
      <c r="B18">
        <v>4</v>
      </c>
      <c r="C18" t="s">
        <v>6</v>
      </c>
      <c r="D18" t="s">
        <v>11</v>
      </c>
      <c r="E18" s="7"/>
      <c r="F18" s="7"/>
      <c r="G18" s="6" t="s">
        <v>24</v>
      </c>
      <c r="H18" s="16"/>
      <c r="I18" s="2" t="s">
        <v>25</v>
      </c>
      <c r="J18" s="6" t="s">
        <v>22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</row>
    <row r="19" spans="1:31" x14ac:dyDescent="0.25">
      <c r="A19" t="s">
        <v>17</v>
      </c>
      <c r="B19">
        <v>0</v>
      </c>
      <c r="C19" t="s">
        <v>12</v>
      </c>
      <c r="D19" t="s">
        <v>11</v>
      </c>
      <c r="E19" s="7"/>
      <c r="F19" s="7"/>
      <c r="G19" s="6" t="s">
        <v>23</v>
      </c>
      <c r="H19" s="16"/>
      <c r="I19" s="2" t="s">
        <v>25</v>
      </c>
      <c r="J19" s="6" t="s">
        <v>22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</row>
    <row r="20" spans="1:31" x14ac:dyDescent="0.25">
      <c r="A20" s="3" t="s">
        <v>18</v>
      </c>
      <c r="B20" s="3">
        <v>3</v>
      </c>
      <c r="C20" s="3" t="s">
        <v>12</v>
      </c>
      <c r="D20" s="3" t="s">
        <v>11</v>
      </c>
      <c r="E20" s="7"/>
      <c r="F20" s="7"/>
      <c r="G20" s="6" t="s">
        <v>54</v>
      </c>
      <c r="H20" s="16"/>
      <c r="I20" s="2" t="s">
        <v>25</v>
      </c>
      <c r="J20" s="6" t="s">
        <v>22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</row>
    <row r="21" spans="1:31" x14ac:dyDescent="0.25">
      <c r="A21" t="s">
        <v>19</v>
      </c>
      <c r="B21" s="11" t="s">
        <v>31</v>
      </c>
      <c r="C21" t="s">
        <v>20</v>
      </c>
      <c r="D21" t="s">
        <v>11</v>
      </c>
      <c r="E21" s="7"/>
      <c r="F21" s="7"/>
      <c r="G21" s="6" t="s">
        <v>34</v>
      </c>
      <c r="H21" s="17"/>
      <c r="I21" s="2" t="s">
        <v>20</v>
      </c>
      <c r="J21" s="6" t="s">
        <v>22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</row>
    <row r="22" spans="1:31" x14ac:dyDescent="0.25">
      <c r="A22" t="s">
        <v>21</v>
      </c>
      <c r="B22">
        <v>100</v>
      </c>
      <c r="C22" t="s">
        <v>33</v>
      </c>
      <c r="D22" t="s">
        <v>11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</row>
    <row r="23" spans="1:31" x14ac:dyDescent="0.25">
      <c r="A23" t="s">
        <v>59</v>
      </c>
      <c r="B23" s="11" t="s">
        <v>31</v>
      </c>
      <c r="C23" t="s">
        <v>20</v>
      </c>
      <c r="D23" t="s">
        <v>11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</row>
    <row r="101" spans="1:3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</row>
    <row r="102" spans="1:31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</row>
    <row r="103" spans="1:31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</row>
    <row r="104" spans="1:31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</row>
    <row r="105" spans="1:31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</row>
    <row r="106" spans="1:31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</row>
    <row r="107" spans="1:31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</row>
    <row r="108" spans="1:31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</row>
    <row r="109" spans="1:31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</row>
    <row r="110" spans="1:31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</row>
    <row r="111" spans="1:31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</row>
    <row r="112" spans="1:31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</row>
    <row r="113" spans="1:31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</row>
    <row r="114" spans="1:31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</row>
    <row r="115" spans="1:31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</row>
    <row r="116" spans="1:31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</row>
    <row r="117" spans="1:31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</row>
    <row r="118" spans="1:31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</row>
    <row r="119" spans="1:31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</row>
    <row r="120" spans="1:31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</row>
    <row r="121" spans="1:31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</row>
    <row r="122" spans="1:31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</row>
    <row r="123" spans="1:31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</row>
    <row r="124" spans="1:31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</row>
    <row r="125" spans="1:31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</row>
    <row r="126" spans="1:31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</row>
    <row r="127" spans="1:31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</row>
    <row r="128" spans="1:31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</row>
    <row r="129" spans="1:31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</row>
    <row r="130" spans="1:31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</row>
    <row r="131" spans="1:31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</row>
    <row r="132" spans="1:31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</row>
    <row r="133" spans="1:31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</row>
    <row r="134" spans="1:31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</row>
    <row r="135" spans="1:31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</row>
    <row r="136" spans="1:31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</row>
    <row r="137" spans="1:31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</row>
    <row r="138" spans="1:31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</row>
    <row r="139" spans="1:31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</row>
    <row r="140" spans="1:31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</row>
    <row r="141" spans="1:31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</row>
    <row r="142" spans="1:31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</row>
    <row r="143" spans="1:31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</row>
    <row r="144" spans="1:31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</row>
    <row r="145" spans="1:31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</row>
    <row r="146" spans="1:31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</row>
    <row r="147" spans="1:31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</row>
    <row r="148" spans="1:31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</row>
    <row r="149" spans="1:31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</row>
    <row r="150" spans="1:31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</row>
    <row r="151" spans="1:31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</row>
    <row r="152" spans="1:31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</row>
    <row r="153" spans="1:31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</row>
    <row r="154" spans="1:31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</row>
    <row r="155" spans="1:31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</row>
    <row r="156" spans="1:31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</row>
    <row r="157" spans="1:31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</row>
    <row r="158" spans="1:31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</row>
    <row r="159" spans="1:31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</row>
    <row r="160" spans="1:31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</row>
    <row r="161" spans="1:31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</row>
    <row r="162" spans="1:31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</row>
    <row r="163" spans="1:31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nalyze_Motion">
                <anchor moveWithCells="1" sizeWithCells="1">
                  <from>
                    <xdr:col>8</xdr:col>
                    <xdr:colOff>0</xdr:colOff>
                    <xdr:row>1</xdr:row>
                    <xdr:rowOff>19050</xdr:rowOff>
                  </from>
                  <to>
                    <xdr:col>10</xdr:col>
                    <xdr:colOff>247650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" name="Button 74">
              <controlPr defaultSize="0" print="0" autoFill="0" autoPict="0" macro="[0]!Clear_Input_Data">
                <anchor moveWithCells="1" sizeWithCells="1">
                  <from>
                    <xdr:col>10</xdr:col>
                    <xdr:colOff>476250</xdr:colOff>
                    <xdr:row>1</xdr:row>
                    <xdr:rowOff>19050</xdr:rowOff>
                  </from>
                  <to>
                    <xdr:col>13</xdr:col>
                    <xdr:colOff>114300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" name="Button 75">
              <controlPr defaultSize="0" print="0" autoFill="0" autoPict="0" macro="[0]!Clear_Output_Data">
                <anchor moveWithCells="1" sizeWithCells="1">
                  <from>
                    <xdr:col>13</xdr:col>
                    <xdr:colOff>342900</xdr:colOff>
                    <xdr:row>1</xdr:row>
                    <xdr:rowOff>19050</xdr:rowOff>
                  </from>
                  <to>
                    <xdr:col>15</xdr:col>
                    <xdr:colOff>590550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80A93D-D266-4D5B-963C-7597ED089620}">
          <x14:formula1>
            <xm:f>Tool_Setup!$B$3:$B$4</xm:f>
          </x14:formula1>
          <xm:sqref>B21 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5822-B61B-46E2-9CA6-C52330AC99D6}">
  <sheetPr codeName="Sheet3"/>
  <dimension ref="A1:J1"/>
  <sheetViews>
    <sheetView workbookViewId="0">
      <selection activeCell="D8" sqref="D8"/>
    </sheetView>
  </sheetViews>
  <sheetFormatPr defaultRowHeight="15" x14ac:dyDescent="0.25"/>
  <cols>
    <col min="1" max="1" width="18.140625" bestFit="1" customWidth="1"/>
    <col min="2" max="3" width="16.140625" bestFit="1" customWidth="1"/>
    <col min="4" max="4" width="16" customWidth="1"/>
    <col min="5" max="5" width="14.42578125" customWidth="1"/>
    <col min="6" max="6" width="13.28515625" customWidth="1"/>
    <col min="7" max="7" width="10.5703125" bestFit="1" customWidth="1"/>
    <col min="8" max="9" width="15" bestFit="1" customWidth="1"/>
    <col min="10" max="10" width="14.85546875" bestFit="1" customWidth="1"/>
  </cols>
  <sheetData>
    <row r="1" spans="1:10" x14ac:dyDescent="0.25">
      <c r="A1" t="s">
        <v>41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42</v>
      </c>
      <c r="I1" t="s">
        <v>43</v>
      </c>
      <c r="J1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85EF-E6DC-4A01-A8A2-C7E26C766E7B}">
  <sheetPr codeName="Sheet5"/>
  <dimension ref="A3:C9"/>
  <sheetViews>
    <sheetView workbookViewId="0">
      <selection activeCell="C18" sqref="C18"/>
    </sheetView>
  </sheetViews>
  <sheetFormatPr defaultRowHeight="15" x14ac:dyDescent="0.25"/>
  <cols>
    <col min="2" max="2" width="32.85546875" bestFit="1" customWidth="1"/>
    <col min="3" max="3" width="42.5703125" bestFit="1" customWidth="1"/>
  </cols>
  <sheetData>
    <row r="3" spans="1:3" x14ac:dyDescent="0.25">
      <c r="A3" s="2" t="s">
        <v>66</v>
      </c>
      <c r="B3" s="2" t="s">
        <v>68</v>
      </c>
      <c r="C3" s="2" t="s">
        <v>69</v>
      </c>
    </row>
    <row r="4" spans="1:3" x14ac:dyDescent="0.25">
      <c r="A4">
        <v>1</v>
      </c>
      <c r="B4" t="s">
        <v>70</v>
      </c>
      <c r="C4" t="s">
        <v>71</v>
      </c>
    </row>
    <row r="5" spans="1:3" x14ac:dyDescent="0.25">
      <c r="A5">
        <v>2</v>
      </c>
      <c r="B5" t="s">
        <v>72</v>
      </c>
      <c r="C5" t="s">
        <v>73</v>
      </c>
    </row>
    <row r="6" spans="1:3" x14ac:dyDescent="0.25">
      <c r="A6">
        <v>3</v>
      </c>
      <c r="B6" t="s">
        <v>74</v>
      </c>
      <c r="C6" t="s">
        <v>75</v>
      </c>
    </row>
    <row r="7" spans="1:3" x14ac:dyDescent="0.25">
      <c r="A7">
        <v>4</v>
      </c>
      <c r="B7" t="s">
        <v>76</v>
      </c>
      <c r="C7" t="s">
        <v>73</v>
      </c>
    </row>
    <row r="8" spans="1:3" x14ac:dyDescent="0.25">
      <c r="A8" t="s">
        <v>67</v>
      </c>
      <c r="B8" t="s">
        <v>77</v>
      </c>
      <c r="C8" t="s">
        <v>80</v>
      </c>
    </row>
    <row r="9" spans="1:3" x14ac:dyDescent="0.25">
      <c r="A9" t="s">
        <v>67</v>
      </c>
      <c r="B9" t="s">
        <v>78</v>
      </c>
      <c r="C9" t="s">
        <v>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F6240-03CE-4C27-A546-8036D69AA640}">
  <sheetPr codeName="Sheet4"/>
  <dimension ref="B2:H7"/>
  <sheetViews>
    <sheetView topLeftCell="B1" workbookViewId="0">
      <selection activeCell="D20" sqref="D20"/>
    </sheetView>
  </sheetViews>
  <sheetFormatPr defaultRowHeight="15" x14ac:dyDescent="0.25"/>
  <cols>
    <col min="2" max="2" width="15" bestFit="1" customWidth="1"/>
    <col min="4" max="4" width="33.28515625" bestFit="1" customWidth="1"/>
    <col min="7" max="7" width="35" bestFit="1" customWidth="1"/>
    <col min="8" max="8" width="68.85546875" bestFit="1" customWidth="1"/>
  </cols>
  <sheetData>
    <row r="2" spans="2:8" ht="15.75" thickBot="1" x14ac:dyDescent="0.3">
      <c r="B2" s="19" t="s">
        <v>30</v>
      </c>
      <c r="D2" s="18" t="s">
        <v>55</v>
      </c>
      <c r="E2" s="18"/>
      <c r="G2" s="18" t="s">
        <v>60</v>
      </c>
      <c r="H2" s="18"/>
    </row>
    <row r="3" spans="2:8" x14ac:dyDescent="0.25">
      <c r="B3" t="s">
        <v>31</v>
      </c>
      <c r="D3" s="2" t="s">
        <v>0</v>
      </c>
      <c r="E3" s="2" t="s">
        <v>1</v>
      </c>
      <c r="G3" s="2" t="s">
        <v>0</v>
      </c>
      <c r="H3" s="2" t="s">
        <v>1</v>
      </c>
    </row>
    <row r="4" spans="2:8" x14ac:dyDescent="0.25">
      <c r="B4" t="s">
        <v>32</v>
      </c>
      <c r="D4" t="s">
        <v>58</v>
      </c>
      <c r="E4" t="str">
        <f>"A2"</f>
        <v>A2</v>
      </c>
      <c r="G4" t="s">
        <v>61</v>
      </c>
      <c r="H4" s="20" t="str">
        <f ca="1">LEFT(CELL("filename",A1),FIND("[",CELL("filename",A1))-1)&amp;"Output"</f>
        <v>C:\Users\Alex\Desktop\Gantry_Motion_Analyzer\Output</v>
      </c>
    </row>
    <row r="5" spans="2:8" x14ac:dyDescent="0.25">
      <c r="D5" t="s">
        <v>57</v>
      </c>
      <c r="E5" t="str">
        <f>"J"&amp;Motion_Analysis!B22+1</f>
        <v>J101</v>
      </c>
      <c r="G5" t="s">
        <v>62</v>
      </c>
      <c r="H5" t="str">
        <f ca="1">H4&amp;"\"&amp;Motion_Analysis!G2&amp;".xlsx"</f>
        <v>C:\Users\Alex\Desktop\Gantry_Motion_Analyzer\Output\Test.xlsx</v>
      </c>
    </row>
    <row r="6" spans="2:8" x14ac:dyDescent="0.25">
      <c r="D6" t="s">
        <v>56</v>
      </c>
      <c r="E6" t="str">
        <f>E4&amp;":"&amp;E5</f>
        <v>A2:J101</v>
      </c>
      <c r="G6" t="s">
        <v>63</v>
      </c>
      <c r="H6" t="str">
        <f ca="1">LEFT(CELL("filename",A1),FIND("[",CELL("filename",A1))-1)&amp;"Template\Template.xlsx"</f>
        <v>C:\Users\Alex\Desktop\Gantry_Motion_Analyzer\Template\Template.xlsx</v>
      </c>
    </row>
    <row r="7" spans="2:8" x14ac:dyDescent="0.25">
      <c r="G7" t="s">
        <v>64</v>
      </c>
    </row>
  </sheetData>
  <mergeCells count="2">
    <mergeCell ref="D2:E2"/>
    <mergeCell ref="G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Motion_Analysis</vt:lpstr>
      <vt:lpstr>Motion_Data</vt:lpstr>
      <vt:lpstr>Instructions</vt:lpstr>
      <vt:lpstr>Tool_Setup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2021-03-27T00:52:31Z</dcterms:created>
  <dcterms:modified xsi:type="dcterms:W3CDTF">2021-03-31T10:56:56Z</dcterms:modified>
</cp:coreProperties>
</file>